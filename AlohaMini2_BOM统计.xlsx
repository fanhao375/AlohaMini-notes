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2整机BOM" sheetId="1" state="visible" r:id="rId1"/>
    <sheet xmlns:r="http://schemas.openxmlformats.org/officeDocument/2006/relationships" name="舵机统计" sheetId="2" state="visible" r:id="rId2"/>
    <sheet xmlns:r="http://schemas.openxmlformats.org/officeDocument/2006/relationships" name="成本汇总" sheetId="3" state="visible" r:id="rId3"/>
    <sheet xmlns:r="http://schemas.openxmlformats.org/officeDocument/2006/relationships" name="AM1_vs_A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666666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9" customWidth="1" min="5" max="5"/>
    <col width="10" customWidth="1" min="6" max="6"/>
    <col width="9" customWidth="1" min="7" max="7"/>
    <col width="26" customWidth="1" min="8" max="8"/>
  </cols>
  <sheetData>
    <row r="1">
      <c r="A1" s="1" t="inlineStr">
        <is>
          <t>部位</t>
        </is>
      </c>
      <c r="B1" s="1" t="inlineStr">
        <is>
          <t>物料</t>
        </is>
      </c>
      <c r="C1" s="1" t="inlineStr">
        <is>
          <t>规格</t>
        </is>
      </c>
      <c r="D1" s="1" t="inlineStr">
        <is>
          <t>数量</t>
        </is>
      </c>
      <c r="E1" s="1" t="inlineStr">
        <is>
          <t>单价¥</t>
        </is>
      </c>
      <c r="F1" s="1" t="inlineStr">
        <is>
          <t>小计¥</t>
        </is>
      </c>
      <c r="G1" s="1" t="inlineStr">
        <is>
          <t>单价$</t>
        </is>
      </c>
      <c r="H1" s="1" t="inlineStr">
        <is>
          <t>采购/备注</t>
        </is>
      </c>
    </row>
    <row r="2">
      <c r="A2" s="2" t="inlineStr">
        <is>
          <t>移动底盘</t>
        </is>
      </c>
      <c r="B2" s="2" t="inlineStr">
        <is>
          <t>STS-3215 舵机(轮)</t>
        </is>
      </c>
      <c r="C2" s="2" t="inlineStr">
        <is>
          <t>ST-3215-C018 12V 1/345</t>
        </is>
      </c>
      <c r="D2" s="3" t="n">
        <v>3</v>
      </c>
      <c r="E2" s="3" t="n">
        <v>110</v>
      </c>
      <c r="F2" s="3" t="n">
        <v>330</v>
      </c>
      <c r="G2" s="3" t="n">
        <v>15.97</v>
      </c>
      <c r="H2" s="2" t="inlineStr"/>
    </row>
    <row r="3">
      <c r="A3" s="2" t="inlineStr">
        <is>
          <t>移动底盘</t>
        </is>
      </c>
      <c r="B3" s="2" t="inlineStr">
        <is>
          <t>STS-3095 舵机(升降)</t>
        </is>
      </c>
      <c r="C3" s="2" t="inlineStr">
        <is>
          <t>ST-3095-C002 12V 95kg·cm</t>
        </is>
      </c>
      <c r="D3" s="3" t="n">
        <v>1</v>
      </c>
      <c r="E3" s="3" t="n">
        <v>345</v>
      </c>
      <c r="F3" s="3" t="n">
        <v>345</v>
      </c>
      <c r="G3" s="3" t="n">
        <v>50.37</v>
      </c>
      <c r="H3" s="2" t="inlineStr">
        <is>
          <t>高扭</t>
        </is>
      </c>
    </row>
    <row r="4">
      <c r="A4" s="2" t="inlineStr">
        <is>
          <t>移动底盘</t>
        </is>
      </c>
      <c r="B4" s="2" t="inlineStr">
        <is>
          <t>全向轮</t>
        </is>
      </c>
      <c r="C4" s="2" t="inlineStr">
        <is>
          <t>127mm 74A</t>
        </is>
      </c>
      <c r="D4" s="3" t="n">
        <v>3</v>
      </c>
      <c r="E4" s="3" t="n"/>
      <c r="F4" s="3" t="n">
        <v>289</v>
      </c>
      <c r="G4" s="3" t="n">
        <v>40</v>
      </c>
      <c r="H4" s="2" t="inlineStr">
        <is>
          <t>¥289/套(3个)</t>
        </is>
      </c>
    </row>
    <row r="5">
      <c r="A5" s="2" t="inlineStr">
        <is>
          <t>移动底盘</t>
        </is>
      </c>
      <c r="B5" s="2" t="inlineStr">
        <is>
          <t>铝型材 T 架</t>
        </is>
      </c>
      <c r="C5" s="2" t="inlineStr">
        <is>
          <t>20×40×2 L=400mm</t>
        </is>
      </c>
      <c r="D5" s="3" t="n">
        <v>1</v>
      </c>
      <c r="E5" s="3" t="n">
        <v>10</v>
      </c>
      <c r="F5" s="3" t="n">
        <v>10</v>
      </c>
      <c r="G5" s="3" t="n">
        <v>1.5</v>
      </c>
      <c r="H5" s="2" t="inlineStr">
        <is>
          <t>或打印件替代</t>
        </is>
      </c>
    </row>
    <row r="6">
      <c r="A6" s="2" t="inlineStr">
        <is>
          <t>移动底盘</t>
        </is>
      </c>
      <c r="B6" s="2" t="inlineStr">
        <is>
          <t>钢销(底盘)</t>
        </is>
      </c>
      <c r="C6" s="2" t="inlineStr">
        <is>
          <t>Φ12×80mm</t>
        </is>
      </c>
      <c r="D6" s="3" t="n">
        <v>3</v>
      </c>
      <c r="E6" s="3" t="n">
        <v>3.28</v>
      </c>
      <c r="F6" s="3" t="n">
        <v>9.84</v>
      </c>
      <c r="G6" s="3" t="n">
        <v>0.5</v>
      </c>
      <c r="H6" s="2" t="inlineStr">
        <is>
          <t>或打印件</t>
        </is>
      </c>
    </row>
    <row r="7">
      <c r="A7" s="2" t="inlineStr">
        <is>
          <t>移动底盘</t>
        </is>
      </c>
      <c r="B7" s="2" t="inlineStr">
        <is>
          <t>钢销(升降轴)</t>
        </is>
      </c>
      <c r="C7" s="2" t="inlineStr">
        <is>
          <t>Φ12×25mm</t>
        </is>
      </c>
      <c r="D7" s="3" t="n">
        <v>1</v>
      </c>
      <c r="E7" s="3" t="n">
        <v>3.28</v>
      </c>
      <c r="F7" s="3" t="n">
        <v>3.28</v>
      </c>
      <c r="G7" s="3" t="n">
        <v>0.5</v>
      </c>
      <c r="H7" s="2" t="inlineStr">
        <is>
          <t>或打印件</t>
        </is>
      </c>
    </row>
    <row r="8">
      <c r="A8" s="2" t="inlineStr">
        <is>
          <t>移动底盘</t>
        </is>
      </c>
      <c r="B8" s="2" t="inlineStr">
        <is>
          <t>轴承(升降导轨)</t>
        </is>
      </c>
      <c r="C8" s="2" t="inlineStr">
        <is>
          <t>4×13×5mm</t>
        </is>
      </c>
      <c r="D8" s="3" t="n">
        <v>8</v>
      </c>
      <c r="E8" s="3" t="n">
        <v>3</v>
      </c>
      <c r="F8" s="3" t="n">
        <v>24</v>
      </c>
      <c r="G8" s="3" t="n"/>
      <c r="H8" s="2" t="inlineStr"/>
    </row>
    <row r="9">
      <c r="A9" s="2" t="inlineStr">
        <is>
          <t>移动底盘</t>
        </is>
      </c>
      <c r="B9" s="2" t="inlineStr">
        <is>
          <t>轴承(底盘/臂/升降)</t>
        </is>
      </c>
      <c r="C9" s="2" t="inlineStr">
        <is>
          <t>12×18×4mm</t>
        </is>
      </c>
      <c r="D9" s="3" t="n">
        <v>8</v>
      </c>
      <c r="E9" s="3" t="n">
        <v>6</v>
      </c>
      <c r="F9" s="3" t="n">
        <v>48</v>
      </c>
      <c r="G9" s="3" t="n"/>
      <c r="H9" s="2" t="inlineStr"/>
    </row>
    <row r="10">
      <c r="A10" s="2" t="inlineStr">
        <is>
          <t>移动底盘</t>
        </is>
      </c>
      <c r="B10" s="2" t="inlineStr">
        <is>
          <t>摄像头-前</t>
        </is>
      </c>
      <c r="C10" s="2" t="inlineStr">
        <is>
          <t>H65V1 720p 2.4mm 1m</t>
        </is>
      </c>
      <c r="D10" s="3" t="n">
        <v>1</v>
      </c>
      <c r="E10" s="3" t="n">
        <v>122</v>
      </c>
      <c r="F10" s="3" t="n">
        <v>122</v>
      </c>
      <c r="G10" s="3" t="n">
        <v>17</v>
      </c>
      <c r="H10" s="2" t="inlineStr"/>
    </row>
    <row r="11">
      <c r="A11" s="2" t="inlineStr">
        <is>
          <t>移动底盘</t>
        </is>
      </c>
      <c r="B11" s="2" t="inlineStr">
        <is>
          <t>摄像头-后</t>
        </is>
      </c>
      <c r="C11" s="2" t="inlineStr">
        <is>
          <t>H65V1 720p 2.4mm 1m</t>
        </is>
      </c>
      <c r="D11" s="3" t="n">
        <v>1</v>
      </c>
      <c r="E11" s="3" t="n">
        <v>122</v>
      </c>
      <c r="F11" s="3" t="n">
        <v>122</v>
      </c>
      <c r="G11" s="3" t="n">
        <v>17</v>
      </c>
      <c r="H11" s="2" t="inlineStr"/>
    </row>
    <row r="12">
      <c r="A12" s="2" t="inlineStr">
        <is>
          <t>移动底盘</t>
        </is>
      </c>
      <c r="B12" s="2" t="inlineStr">
        <is>
          <t>摄像头-胸</t>
        </is>
      </c>
      <c r="C12" s="2" t="inlineStr">
        <is>
          <t>H65V1 720p 2.4mm 2m</t>
        </is>
      </c>
      <c r="D12" s="3" t="n">
        <v>1</v>
      </c>
      <c r="E12" s="3" t="n">
        <v>122</v>
      </c>
      <c r="F12" s="3" t="n">
        <v>122</v>
      </c>
      <c r="G12" s="3" t="n">
        <v>17</v>
      </c>
      <c r="H12" s="2" t="inlineStr"/>
    </row>
    <row r="13">
      <c r="A13" s="2" t="inlineStr">
        <is>
          <t>移动底盘</t>
        </is>
      </c>
      <c r="B13" s="2" t="inlineStr">
        <is>
          <t>树莓派 5</t>
        </is>
      </c>
      <c r="C13" s="2" t="inlineStr">
        <is>
          <t>2GB RAM</t>
        </is>
      </c>
      <c r="D13" s="3" t="n">
        <v>1</v>
      </c>
      <c r="E13" s="3" t="n">
        <v>669</v>
      </c>
      <c r="F13" s="3" t="n">
        <v>669</v>
      </c>
      <c r="G13" s="3" t="n">
        <v>93</v>
      </c>
      <c r="H13" s="2" t="inlineStr">
        <is>
          <t>Host 算力(可省→USB直连PC)</t>
        </is>
      </c>
    </row>
    <row r="14">
      <c r="A14" s="2" t="inlineStr">
        <is>
          <t>移动底盘</t>
        </is>
      </c>
      <c r="B14" s="2" t="inlineStr">
        <is>
          <t>DC 降压模块</t>
        </is>
      </c>
      <c r="C14" s="2" t="inlineStr">
        <is>
          <t>12V→5V 5A PD</t>
        </is>
      </c>
      <c r="D14" s="3" t="n">
        <v>1</v>
      </c>
      <c r="E14" s="3" t="n">
        <v>66</v>
      </c>
      <c r="F14" s="3" t="n">
        <v>66</v>
      </c>
      <c r="G14" s="3" t="n">
        <v>9</v>
      </c>
      <c r="H14" s="2" t="inlineStr"/>
    </row>
    <row r="15">
      <c r="A15" s="2" t="inlineStr">
        <is>
          <t>移动底盘</t>
        </is>
      </c>
      <c r="B15" s="2" t="inlineStr">
        <is>
          <t>散热片</t>
        </is>
      </c>
      <c r="C15" s="2" t="inlineStr">
        <is>
          <t>Pi5 被动</t>
        </is>
      </c>
      <c r="D15" s="3" t="n">
        <v>1</v>
      </c>
      <c r="E15" s="3" t="n">
        <v>18</v>
      </c>
      <c r="F15" s="3" t="n">
        <v>18</v>
      </c>
      <c r="G15" s="3" t="n">
        <v>2.5</v>
      </c>
      <c r="H15" s="2" t="inlineStr"/>
    </row>
    <row r="16">
      <c r="A16" s="2" t="inlineStr">
        <is>
          <t>移动底盘</t>
        </is>
      </c>
      <c r="B16" s="2" t="inlineStr">
        <is>
          <t>microSD 卡</t>
        </is>
      </c>
      <c r="C16" s="2" t="inlineStr">
        <is>
          <t>32GB</t>
        </is>
      </c>
      <c r="D16" s="3" t="n">
        <v>1</v>
      </c>
      <c r="E16" s="3" t="n">
        <v>99.90000000000001</v>
      </c>
      <c r="F16" s="3" t="n">
        <v>99.90000000000001</v>
      </c>
      <c r="G16" s="3" t="n">
        <v>14</v>
      </c>
      <c r="H16" s="2" t="inlineStr"/>
    </row>
    <row r="17">
      <c r="A17" s="2" t="inlineStr">
        <is>
          <t>移动底盘</t>
        </is>
      </c>
      <c r="B17" s="2" t="inlineStr">
        <is>
          <t>HDMI→Micro 线</t>
        </is>
      </c>
      <c r="C17" s="2" t="inlineStr">
        <is>
          <t>1m 4K60</t>
        </is>
      </c>
      <c r="D17" s="3" t="n">
        <v>1</v>
      </c>
      <c r="E17" s="3" t="n">
        <v>7</v>
      </c>
      <c r="F17" s="3" t="n">
        <v>7</v>
      </c>
      <c r="G17" s="3" t="n">
        <v>1</v>
      </c>
      <c r="H17" s="2" t="inlineStr"/>
    </row>
    <row r="18">
      <c r="A18" s="2" t="inlineStr">
        <is>
          <t>移动底盘</t>
        </is>
      </c>
      <c r="B18" s="2" t="inlineStr">
        <is>
          <t>总线舵机控制器</t>
        </is>
      </c>
      <c r="C18" s="2" t="inlineStr">
        <is>
          <t>Waveshare Adapter A</t>
        </is>
      </c>
      <c r="D18" s="3" t="n">
        <v>1</v>
      </c>
      <c r="E18" s="3" t="n">
        <v>27</v>
      </c>
      <c r="F18" s="3" t="n">
        <v>27</v>
      </c>
      <c r="G18" s="3" t="n">
        <v>5</v>
      </c>
      <c r="H18" s="2" t="inlineStr"/>
    </row>
    <row r="19">
      <c r="A19" s="2" t="inlineStr">
        <is>
          <t>移动底盘</t>
        </is>
      </c>
      <c r="B19" s="2" t="inlineStr">
        <is>
          <t>电池 12V</t>
        </is>
      </c>
      <c r="C19" s="2" t="inlineStr">
        <is>
          <t>11200mAh DC5521</t>
        </is>
      </c>
      <c r="D19" s="3" t="n">
        <v>2</v>
      </c>
      <c r="E19" s="3" t="n"/>
      <c r="F19" s="3" t="n">
        <v>114</v>
      </c>
      <c r="G19" s="3" t="n">
        <v>16</v>
      </c>
      <c r="H19" s="2" t="inlineStr">
        <is>
          <t>¥114/对</t>
        </is>
      </c>
    </row>
    <row r="20">
      <c r="A20" s="2" t="inlineStr">
        <is>
          <t>移动底盘</t>
        </is>
      </c>
      <c r="B20" s="2" t="inlineStr">
        <is>
          <t>DC 1分2 线</t>
        </is>
      </c>
      <c r="C20" s="2" t="inlineStr">
        <is>
          <t>30cm</t>
        </is>
      </c>
      <c r="D20" s="3" t="n">
        <v>1</v>
      </c>
      <c r="E20" s="3" t="n">
        <v>4.5</v>
      </c>
      <c r="F20" s="3" t="n">
        <v>4.5</v>
      </c>
      <c r="G20" s="3" t="n">
        <v>0.6</v>
      </c>
      <c r="H20" s="2" t="inlineStr"/>
    </row>
    <row r="21">
      <c r="A21" s="2" t="inlineStr">
        <is>
          <t>移动底盘</t>
        </is>
      </c>
      <c r="B21" s="2" t="inlineStr">
        <is>
          <t>DC 延长线</t>
        </is>
      </c>
      <c r="C21" s="2" t="inlineStr">
        <is>
          <t>1m</t>
        </is>
      </c>
      <c r="D21" s="3" t="n">
        <v>2</v>
      </c>
      <c r="E21" s="3" t="n">
        <v>2.3</v>
      </c>
      <c r="F21" s="3" t="n">
        <v>4.6</v>
      </c>
      <c r="G21" s="3" t="n">
        <v>0.3</v>
      </c>
      <c r="H21" s="2" t="inlineStr"/>
    </row>
    <row r="22">
      <c r="A22" s="2" t="inlineStr">
        <is>
          <t>移动底盘</t>
        </is>
      </c>
      <c r="B22" s="2" t="inlineStr">
        <is>
          <t>舵机延长线</t>
        </is>
      </c>
      <c r="C22" s="2" t="inlineStr">
        <is>
          <t>90cm Feetech 3pin</t>
        </is>
      </c>
      <c r="D22" s="3" t="n">
        <v>2</v>
      </c>
      <c r="E22" s="3" t="n">
        <v>2</v>
      </c>
      <c r="F22" s="3" t="n">
        <v>4</v>
      </c>
      <c r="G22" s="3" t="n">
        <v>0.3</v>
      </c>
      <c r="H22" s="2" t="inlineStr"/>
    </row>
    <row r="23">
      <c r="A23" s="2" t="inlineStr">
        <is>
          <t>移动底盘</t>
        </is>
      </c>
      <c r="B23" s="2" t="inlineStr">
        <is>
          <t>3D 打印件</t>
        </is>
      </c>
      <c r="C23" s="2" t="inlineStr">
        <is>
          <t>PLA/PETG/ABS</t>
        </is>
      </c>
      <c r="D23" s="3" t="n">
        <v>1</v>
      </c>
      <c r="E23" s="3" t="n"/>
      <c r="F23" s="3" t="n"/>
      <c r="G23" s="3" t="n"/>
      <c r="H23" s="2" t="inlineStr">
        <is>
          <t>~4kg 耗材(另计)</t>
        </is>
      </c>
    </row>
    <row r="24">
      <c r="A24" s="2" t="inlineStr">
        <is>
          <t>Follower双臂</t>
        </is>
      </c>
      <c r="B24" s="2" t="inlineStr">
        <is>
          <t>STS-3215 舵机</t>
        </is>
      </c>
      <c r="C24" s="2" t="inlineStr">
        <is>
          <t>ST-3215-C018 12V 1/345</t>
        </is>
      </c>
      <c r="D24" s="3" t="n">
        <v>8</v>
      </c>
      <c r="E24" s="3" t="n">
        <v>110</v>
      </c>
      <c r="F24" s="3" t="n">
        <v>880</v>
      </c>
      <c r="G24" s="3" t="n">
        <v>15.97</v>
      </c>
      <c r="H24" s="2" t="inlineStr">
        <is>
          <t>4/臂</t>
        </is>
      </c>
    </row>
    <row r="25">
      <c r="A25" s="2" t="inlineStr">
        <is>
          <t>Follower双臂</t>
        </is>
      </c>
      <c r="B25" s="2" t="inlineStr">
        <is>
          <t>STS-3095 舵机</t>
        </is>
      </c>
      <c r="C25" s="2" t="inlineStr">
        <is>
          <t>ST-3095-C002 12V 95kg·cm</t>
        </is>
      </c>
      <c r="D25" s="3" t="n">
        <v>6</v>
      </c>
      <c r="E25" s="3" t="n">
        <v>345</v>
      </c>
      <c r="F25" s="3" t="n">
        <v>2070</v>
      </c>
      <c r="G25" s="3" t="n">
        <v>50.37</v>
      </c>
      <c r="H25" s="2" t="inlineStr">
        <is>
          <t>3/臂 高扭</t>
        </is>
      </c>
    </row>
    <row r="26">
      <c r="A26" s="2" t="inlineStr">
        <is>
          <t>Follower双臂</t>
        </is>
      </c>
      <c r="B26" s="2" t="inlineStr">
        <is>
          <t>内六角螺丝 M3×10</t>
        </is>
      </c>
      <c r="C26" s="2" t="inlineStr">
        <is>
          <t>100/包</t>
        </is>
      </c>
      <c r="D26" s="3" t="n">
        <v>2</v>
      </c>
      <c r="E26" s="3" t="n"/>
      <c r="F26" s="3" t="n">
        <v>6</v>
      </c>
      <c r="G26" s="3" t="n"/>
      <c r="H26" s="2" t="inlineStr">
        <is>
          <t>2 包</t>
        </is>
      </c>
    </row>
    <row r="27">
      <c r="A27" s="2" t="inlineStr">
        <is>
          <t>Follower双臂</t>
        </is>
      </c>
      <c r="B27" s="2" t="inlineStr">
        <is>
          <t>热熔螺母</t>
        </is>
      </c>
      <c r="C27" s="2" t="inlineStr">
        <is>
          <t>M3×5×4</t>
        </is>
      </c>
      <c r="D27" s="3" t="n">
        <v>1</v>
      </c>
      <c r="E27" s="3" t="n"/>
      <c r="F27" s="3" t="n">
        <v>5</v>
      </c>
      <c r="G27" s="3" t="n"/>
      <c r="H27" s="2" t="inlineStr">
        <is>
          <t>1 包</t>
        </is>
      </c>
    </row>
    <row r="28">
      <c r="A28" s="2" t="inlineStr">
        <is>
          <t>Follower双臂</t>
        </is>
      </c>
      <c r="B28" s="2" t="inlineStr">
        <is>
          <t>舵机延长线</t>
        </is>
      </c>
      <c r="C28" s="2" t="inlineStr">
        <is>
          <t>SCS 3pin 26cm</t>
        </is>
      </c>
      <c r="D28" s="3" t="n">
        <v>12</v>
      </c>
      <c r="E28" s="3" t="n"/>
      <c r="F28" s="3" t="n">
        <v>3</v>
      </c>
      <c r="G28" s="3" t="n">
        <v>0.43</v>
      </c>
      <c r="H28" s="2" t="inlineStr">
        <is>
          <t>¥3/12根</t>
        </is>
      </c>
    </row>
    <row r="29">
      <c r="A29" s="2" t="inlineStr">
        <is>
          <t>Follower双臂</t>
        </is>
      </c>
      <c r="B29" s="2" t="inlineStr">
        <is>
          <t>摄像头-腕</t>
        </is>
      </c>
      <c r="C29" s="2" t="inlineStr">
        <is>
          <t>H65V1 720p 2.4mm 2m</t>
        </is>
      </c>
      <c r="D29" s="3" t="n">
        <v>2</v>
      </c>
      <c r="E29" s="3" t="n">
        <v>122</v>
      </c>
      <c r="F29" s="3" t="n">
        <v>244</v>
      </c>
      <c r="G29" s="3" t="n">
        <v>17</v>
      </c>
      <c r="H29" s="2" t="inlineStr">
        <is>
          <t>1/臂</t>
        </is>
      </c>
    </row>
    <row r="30">
      <c r="A30" s="2" t="inlineStr">
        <is>
          <t>Follower双臂</t>
        </is>
      </c>
      <c r="B30" s="2" t="inlineStr">
        <is>
          <t>总线舵机控制器</t>
        </is>
      </c>
      <c r="C30" s="2" t="inlineStr">
        <is>
          <t>Waveshare Adapter A</t>
        </is>
      </c>
      <c r="D30" s="3" t="n">
        <v>2</v>
      </c>
      <c r="E30" s="3" t="n">
        <v>27</v>
      </c>
      <c r="F30" s="3" t="n">
        <v>54</v>
      </c>
      <c r="G30" s="3" t="n">
        <v>5</v>
      </c>
      <c r="H30" s="2" t="inlineStr">
        <is>
          <t>1/臂</t>
        </is>
      </c>
    </row>
    <row r="31">
      <c r="A31" s="2" t="inlineStr">
        <is>
          <t>Follower双臂</t>
        </is>
      </c>
      <c r="B31" s="2" t="inlineStr">
        <is>
          <t>USB-C 线</t>
        </is>
      </c>
      <c r="C31" s="2" t="inlineStr">
        <is>
          <t>1m 臂→Pi5</t>
        </is>
      </c>
      <c r="D31" s="3" t="n">
        <v>4</v>
      </c>
      <c r="E31" s="3" t="n"/>
      <c r="F31" s="3" t="n">
        <v>4.8</v>
      </c>
      <c r="G31" s="3" t="n"/>
      <c r="H31" s="2" t="inlineStr">
        <is>
          <t>¥4.8/4根</t>
        </is>
      </c>
    </row>
    <row r="32">
      <c r="A32" s="2" t="inlineStr">
        <is>
          <t>Follower双臂</t>
        </is>
      </c>
      <c r="B32" s="2" t="inlineStr">
        <is>
          <t>3D 打印件</t>
        </is>
      </c>
      <c r="C32" s="2" t="inlineStr">
        <is>
          <t>PLA/PETG/ABS</t>
        </is>
      </c>
      <c r="D32" s="3" t="n">
        <v>1</v>
      </c>
      <c r="E32" s="3" t="n"/>
      <c r="F32" s="3" t="n"/>
      <c r="G32" s="3" t="n"/>
      <c r="H32" s="2" t="inlineStr">
        <is>
          <t>AM-ARM200 ×2</t>
        </is>
      </c>
    </row>
    <row r="33">
      <c r="A33" s="2" t="inlineStr">
        <is>
          <t>Leader双臂</t>
        </is>
      </c>
      <c r="B33" s="2" t="inlineStr">
        <is>
          <t>STS-3215 舵机(leader)</t>
        </is>
      </c>
      <c r="C33" s="2" t="inlineStr">
        <is>
          <t>ST-3215-C046 7.4V 1/147</t>
        </is>
      </c>
      <c r="D33" s="3" t="n">
        <v>14</v>
      </c>
      <c r="E33" s="3" t="n">
        <v>110</v>
      </c>
      <c r="F33" s="3" t="n">
        <v>1540</v>
      </c>
      <c r="G33" s="3" t="n">
        <v>15.97</v>
      </c>
      <c r="H33" s="2" t="inlineStr">
        <is>
          <t>7/臂 可反驱</t>
        </is>
      </c>
    </row>
    <row r="34">
      <c r="A34" s="2" t="inlineStr">
        <is>
          <t>Leader双臂</t>
        </is>
      </c>
      <c r="B34" s="2" t="inlineStr">
        <is>
          <t>热熔螺母</t>
        </is>
      </c>
      <c r="C34" s="2" t="inlineStr">
        <is>
          <t>M3×5×4</t>
        </is>
      </c>
      <c r="D34" s="3" t="n">
        <v>1</v>
      </c>
      <c r="E34" s="3" t="n"/>
      <c r="F34" s="3" t="n">
        <v>5</v>
      </c>
      <c r="G34" s="3" t="n"/>
      <c r="H34" s="2" t="inlineStr"/>
    </row>
    <row r="35">
      <c r="A35" s="2" t="inlineStr">
        <is>
          <t>Leader双臂</t>
        </is>
      </c>
      <c r="B35" s="2" t="inlineStr">
        <is>
          <t>总线舵机控制器</t>
        </is>
      </c>
      <c r="C35" s="2" t="inlineStr">
        <is>
          <t>Waveshare</t>
        </is>
      </c>
      <c r="D35" s="3" t="n">
        <v>2</v>
      </c>
      <c r="E35" s="3" t="n">
        <v>27</v>
      </c>
      <c r="F35" s="3" t="n">
        <v>54</v>
      </c>
      <c r="G35" s="3" t="n">
        <v>12.47</v>
      </c>
      <c r="H35" s="2" t="inlineStr"/>
    </row>
    <row r="36">
      <c r="A36" s="2" t="inlineStr">
        <is>
          <t>Leader双臂</t>
        </is>
      </c>
      <c r="B36" s="2" t="inlineStr">
        <is>
          <t>电源 5V</t>
        </is>
      </c>
      <c r="C36" s="2" t="inlineStr">
        <is>
          <t>DC 5V 适配器</t>
        </is>
      </c>
      <c r="D36" s="3" t="n">
        <v>1</v>
      </c>
      <c r="E36" s="3" t="n"/>
      <c r="F36" s="3" t="n"/>
      <c r="G36" s="3" t="n">
        <v>12.99</v>
      </c>
      <c r="H36" s="2" t="inlineStr">
        <is>
          <t>无CN价</t>
        </is>
      </c>
    </row>
    <row r="37">
      <c r="A37" s="2" t="inlineStr">
        <is>
          <t>Leader双臂</t>
        </is>
      </c>
      <c r="B37" s="2" t="inlineStr">
        <is>
          <t>USB-C 线</t>
        </is>
      </c>
      <c r="C37" s="2" t="inlineStr">
        <is>
          <t>1m 臂→PC</t>
        </is>
      </c>
      <c r="D37" s="3" t="n">
        <v>2</v>
      </c>
      <c r="E37" s="3" t="n">
        <v>10</v>
      </c>
      <c r="F37" s="3" t="n">
        <v>20</v>
      </c>
      <c r="G37" s="3" t="n">
        <v>7.19</v>
      </c>
      <c r="H37" s="2" t="inlineStr"/>
    </row>
    <row r="38">
      <c r="A38" s="2" t="inlineStr">
        <is>
          <t>Leader双臂</t>
        </is>
      </c>
      <c r="B38" s="2" t="inlineStr">
        <is>
          <t>DC 1分2 线</t>
        </is>
      </c>
      <c r="C38" s="2" t="inlineStr">
        <is>
          <t>70cm</t>
        </is>
      </c>
      <c r="D38" s="3" t="n">
        <v>1</v>
      </c>
      <c r="E38" s="3" t="n">
        <v>6.5</v>
      </c>
      <c r="F38" s="3" t="n">
        <v>6.5</v>
      </c>
      <c r="G38" s="3" t="n"/>
      <c r="H38" s="2" t="inlineStr"/>
    </row>
    <row r="39">
      <c r="A39" s="2" t="inlineStr">
        <is>
          <t>Leader双臂</t>
        </is>
      </c>
      <c r="B39" s="2" t="inlineStr">
        <is>
          <t>3D 打印件</t>
        </is>
      </c>
      <c r="C39" s="2" t="inlineStr">
        <is>
          <t>PLA/PETG/ABS</t>
        </is>
      </c>
      <c r="D39" s="3" t="n">
        <v>1</v>
      </c>
      <c r="E39" s="3" t="n"/>
      <c r="F39" s="3" t="n"/>
      <c r="G39" s="3" t="n"/>
      <c r="H39" s="2" t="inlineStr">
        <is>
          <t>AM-ARM200 leader ×2</t>
        </is>
      </c>
    </row>
    <row r="40">
      <c r="A40" s="2" t="inlineStr">
        <is>
          <t>紧固/耗材</t>
        </is>
      </c>
      <c r="B40" s="2" t="inlineStr">
        <is>
          <t>热熔螺母 M3</t>
        </is>
      </c>
      <c r="C40" s="2" t="inlineStr">
        <is>
          <t>M3×5×4 50/包</t>
        </is>
      </c>
      <c r="D40" s="3" t="n">
        <v>1</v>
      </c>
      <c r="E40" s="3" t="n">
        <v>2.2</v>
      </c>
      <c r="F40" s="3" t="n">
        <v>2.2</v>
      </c>
      <c r="G40" s="3" t="n">
        <v>0.3</v>
      </c>
      <c r="H40" s="2" t="inlineStr"/>
    </row>
    <row r="41">
      <c r="A41" s="2" t="inlineStr">
        <is>
          <t>紧固/耗材</t>
        </is>
      </c>
      <c r="B41" s="2" t="inlineStr">
        <is>
          <t>内六角 M3×10</t>
        </is>
      </c>
      <c r="C41" s="2" t="inlineStr">
        <is>
          <t>100/包 蓝胶</t>
        </is>
      </c>
      <c r="D41" s="3" t="n">
        <v>3</v>
      </c>
      <c r="E41" s="3" t="n"/>
      <c r="F41" s="3" t="n">
        <v>8.5</v>
      </c>
      <c r="G41" s="3" t="n"/>
      <c r="H41" s="2" t="inlineStr">
        <is>
          <t>3 包</t>
        </is>
      </c>
    </row>
    <row r="42">
      <c r="A42" s="2" t="inlineStr">
        <is>
          <t>紧固/耗材</t>
        </is>
      </c>
      <c r="B42" s="2" t="inlineStr">
        <is>
          <t>内六角 M3×18</t>
        </is>
      </c>
      <c r="C42" s="2" t="inlineStr">
        <is>
          <t>50/包</t>
        </is>
      </c>
      <c r="D42" s="3" t="n">
        <v>1</v>
      </c>
      <c r="E42" s="3" t="n">
        <v>4.72</v>
      </c>
      <c r="F42" s="3" t="n">
        <v>4.72</v>
      </c>
      <c r="G42" s="3" t="n">
        <v>0.65</v>
      </c>
      <c r="H42" s="2" t="inlineStr"/>
    </row>
    <row r="43">
      <c r="A43" s="2" t="inlineStr">
        <is>
          <t>紧固/耗材</t>
        </is>
      </c>
      <c r="B43" s="2" t="inlineStr">
        <is>
          <t>环氧胶</t>
        </is>
      </c>
      <c r="C43" s="2" t="inlineStr">
        <is>
          <t>Loctite E-120HP 50mL</t>
        </is>
      </c>
      <c r="D43" s="3" t="n">
        <v>1</v>
      </c>
      <c r="E43" s="3" t="n">
        <v>74.90000000000001</v>
      </c>
      <c r="F43" s="3" t="n">
        <v>74.90000000000001</v>
      </c>
      <c r="G43" s="3" t="n">
        <v>10</v>
      </c>
      <c r="H43" s="2" t="inlineStr"/>
    </row>
    <row r="45">
      <c r="A45" s="4" t="inlineStr">
        <is>
          <t>逐项累加合计 (小计¥)</t>
        </is>
      </c>
      <c r="B45" s="5" t="n"/>
      <c r="C45" s="5" t="n"/>
      <c r="D45" s="5" t="n"/>
      <c r="E45" s="5" t="n"/>
      <c r="F45" s="6">
        <f>SUM(F2:F43)</f>
        <v/>
      </c>
      <c r="G45" s="5" t="n"/>
      <c r="H45" s="5" t="n"/>
    </row>
    <row r="46">
      <c r="A46" s="7" t="inlineStr">
        <is>
          <t>官方分项约值：底盘¥2475 / Follower¥3320 / Leader¥1646 / 紧固¥107 = ¥7548 (~$1097)。逐项累加与官方有 ~2% 舍入差；权威分项见『成本汇总』sheet。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42" customWidth="1" min="4" max="4"/>
    <col width="8" customWidth="1" min="5" max="5"/>
    <col width="9" customWidth="1" min="6" max="6"/>
    <col width="10" customWidth="1" min="7" max="7"/>
  </cols>
  <sheetData>
    <row r="1">
      <c r="A1" s="1" t="inlineStr">
        <is>
          <t>型号</t>
        </is>
      </c>
      <c r="B1" s="1" t="inlineStr">
        <is>
          <t>电压</t>
        </is>
      </c>
      <c r="C1" s="1" t="inlineStr">
        <is>
          <t>减速比/型号</t>
        </is>
      </c>
      <c r="D1" s="1" t="inlineStr">
        <is>
          <t>用途</t>
        </is>
      </c>
      <c r="E1" s="1" t="inlineStr">
        <is>
          <t>数量</t>
        </is>
      </c>
      <c r="F1" s="1" t="inlineStr">
        <is>
          <t>单价¥</t>
        </is>
      </c>
      <c r="G1" s="1" t="inlineStr">
        <is>
          <t>小计¥</t>
        </is>
      </c>
    </row>
    <row r="2">
      <c r="A2" s="2" t="inlineStr">
        <is>
          <t>STS-3215</t>
        </is>
      </c>
      <c r="B2" s="2" t="inlineStr">
        <is>
          <t>12V</t>
        </is>
      </c>
      <c r="C2" s="2" t="inlineStr">
        <is>
          <t>1/345 (C018)</t>
        </is>
      </c>
      <c r="D2" s="2" t="inlineStr">
        <is>
          <t>底盘轮 ×3 + Follower 小关节 ×8</t>
        </is>
      </c>
      <c r="E2" s="3" t="n">
        <v>11</v>
      </c>
      <c r="F2" s="3" t="n">
        <v>110</v>
      </c>
      <c r="G2" s="3" t="n">
        <v>1210</v>
      </c>
    </row>
    <row r="3">
      <c r="A3" s="2" t="inlineStr">
        <is>
          <t>STS-3095</t>
        </is>
      </c>
      <c r="B3" s="2" t="inlineStr">
        <is>
          <t>12V</t>
        </is>
      </c>
      <c r="C3" s="2" t="inlineStr">
        <is>
          <t>95kg·cm (C002)</t>
        </is>
      </c>
      <c r="D3" s="2" t="inlineStr">
        <is>
          <t>升降 ×1 + Follower 大关节 ×6 (高扭)</t>
        </is>
      </c>
      <c r="E3" s="3" t="n">
        <v>7</v>
      </c>
      <c r="F3" s="3" t="n">
        <v>345</v>
      </c>
      <c r="G3" s="3" t="n">
        <v>2415</v>
      </c>
    </row>
    <row r="4">
      <c r="A4" s="2" t="inlineStr">
        <is>
          <t>STS-3215</t>
        </is>
      </c>
      <c r="B4" s="2" t="inlineStr">
        <is>
          <t>7.4V</t>
        </is>
      </c>
      <c r="C4" s="2" t="inlineStr">
        <is>
          <t>1/147 (C046)</t>
        </is>
      </c>
      <c r="D4" s="2" t="inlineStr">
        <is>
          <t>Leader 主动臂 ×14 (可反驱)</t>
        </is>
      </c>
      <c r="E4" s="3" t="n">
        <v>14</v>
      </c>
      <c r="F4" s="3" t="n">
        <v>110</v>
      </c>
      <c r="G4" s="3" t="n">
        <v>1540</v>
      </c>
    </row>
    <row r="5">
      <c r="A5" s="8" t="inlineStr">
        <is>
          <t>合计</t>
        </is>
      </c>
      <c r="B5" s="9" t="n"/>
      <c r="C5" s="9" t="n"/>
      <c r="D5" s="9" t="n"/>
      <c r="E5" s="6" t="n">
        <v>32</v>
      </c>
      <c r="F5" s="10" t="n"/>
      <c r="G5" s="6" t="n">
        <v>5165</v>
      </c>
    </row>
    <row r="7">
      <c r="A7" s="11" t="inlineStr">
        <is>
          <t>舵机占整机 BOM 比例</t>
        </is>
      </c>
      <c r="F7" t="inlineStr">
        <is>
          <t>¥5,165 / ¥7,548</t>
        </is>
      </c>
      <c r="G7" s="12" t="inlineStr">
        <is>
          <t>≈ 68%</t>
        </is>
      </c>
    </row>
    <row r="8">
      <c r="A8" t="inlineStr">
        <is>
          <t>机器人本体舵机(去 leader)</t>
        </is>
      </c>
      <c r="F8" t="inlineStr">
        <is>
          <t>¥3,625</t>
        </is>
      </c>
      <c r="G8" t="inlineStr">
        <is>
          <t>18 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类别</t>
        </is>
      </c>
      <c r="B1" s="1" t="inlineStr">
        <is>
          <t>CNY ¥</t>
        </is>
      </c>
      <c r="C1" s="1" t="inlineStr">
        <is>
          <t>USD $</t>
        </is>
      </c>
      <c r="D1" s="1" t="inlineStr">
        <is>
          <t>占比</t>
        </is>
      </c>
    </row>
    <row r="2">
      <c r="A2" s="2" t="inlineStr">
        <is>
          <t>移动底盘</t>
        </is>
      </c>
      <c r="B2" s="3" t="n">
        <v>2475</v>
      </c>
      <c r="C2" s="3" t="n">
        <v>344</v>
      </c>
      <c r="D2" s="3" t="inlineStr">
        <is>
          <t>33%</t>
        </is>
      </c>
    </row>
    <row r="3">
      <c r="A3" s="2" t="inlineStr">
        <is>
          <t>Follower 双臂</t>
        </is>
      </c>
      <c r="B3" s="3" t="n">
        <v>3320</v>
      </c>
      <c r="C3" s="3" t="n">
        <v>461</v>
      </c>
      <c r="D3" s="3" t="inlineStr">
        <is>
          <t>44%</t>
        </is>
      </c>
    </row>
    <row r="4">
      <c r="A4" s="2" t="inlineStr">
        <is>
          <t>Leader 双臂(可选)</t>
        </is>
      </c>
      <c r="B4" s="3" t="n">
        <v>1646</v>
      </c>
      <c r="C4" s="3" t="n">
        <v>277</v>
      </c>
      <c r="D4" s="3" t="inlineStr">
        <is>
          <t>22%</t>
        </is>
      </c>
    </row>
    <row r="5">
      <c r="A5" s="2" t="inlineStr">
        <is>
          <t>紧固/耗材</t>
        </is>
      </c>
      <c r="B5" s="3" t="n">
        <v>107</v>
      </c>
      <c r="C5" s="3" t="n">
        <v>15</v>
      </c>
      <c r="D5" s="3" t="inlineStr">
        <is>
          <t>1%</t>
        </is>
      </c>
    </row>
    <row r="6">
      <c r="A6" s="8" t="inlineStr">
        <is>
          <t>合计(自打印, 未含耗材)</t>
        </is>
      </c>
      <c r="B6" s="6" t="n">
        <v>7548</v>
      </c>
      <c r="C6" s="6" t="n">
        <v>1097</v>
      </c>
      <c r="D6" s="6" t="inlineStr">
        <is>
          <t>100%</t>
        </is>
      </c>
    </row>
    <row r="8">
      <c r="A8" s="13" t="inlineStr">
        <is>
          <t>关键洞察：</t>
        </is>
      </c>
    </row>
    <row r="9">
      <c r="A9" t="inlineStr">
        <is>
          <t>• 舵机 ×32 ≈ ¥5,165，占整机 BOM 约 68%（成本由舵机数量决定）。</t>
        </is>
      </c>
    </row>
    <row r="10">
      <c r="A10" t="inlineStr">
        <is>
          <t>• 机器人本体(去掉 leader 双臂) = ¥5,902 ≈ $820；leader 是遥操作输入设备，可用 VR 手柄替代。</t>
        </is>
      </c>
    </row>
    <row r="11">
      <c r="A11" t="inlineStr">
        <is>
          <t>• "&lt;$1000" 是乐观下限：CN ¥7,548≈$1,036 / US ~$1,097，且未含 ~5kg 耗材(~¥150-300)与常用工具。</t>
        </is>
      </c>
    </row>
    <row r="12">
      <c r="A12" t="inlineStr">
        <is>
          <t>• Pro 版把部分舵机换 STS-3250 工业舵机，会明显涨价。</t>
        </is>
      </c>
    </row>
    <row r="13">
      <c r="A13" t="inlineStr">
        <is>
          <t>• 全向轮¥289、电池¥114 按整套/整对计；官方分项为约值，逐项累加有 ~2% 舍入差。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</cols>
  <sheetData>
    <row r="1">
      <c r="A1" s="1" t="inlineStr">
        <is>
          <t>维度</t>
        </is>
      </c>
      <c r="B1" s="1" t="inlineStr">
        <is>
          <t>AlohaMini1</t>
        </is>
      </c>
      <c r="C1" s="1" t="inlineStr">
        <is>
          <t>AlohaMini2</t>
        </is>
      </c>
    </row>
    <row r="2">
      <c r="A2" s="14" t="inlineStr">
        <is>
          <t>臂设计</t>
        </is>
      </c>
      <c r="B2" s="2" t="inlineStr">
        <is>
          <t>复用 SO-ARM100 (别人的)</t>
        </is>
      </c>
      <c r="C2" s="2" t="inlineStr">
        <is>
          <t>新 AM-ARM200 (自研开源, SO-ARM 衍生)</t>
        </is>
      </c>
    </row>
    <row r="3">
      <c r="A3" s="14" t="inlineStr">
        <is>
          <t>臂自由度</t>
        </is>
      </c>
      <c r="B3" s="2" t="inlineStr">
        <is>
          <t>5+1 DoF</t>
        </is>
      </c>
      <c r="C3" s="2" t="inlineStr">
        <is>
          <t>6+1 DoF (+wrist_yaw)</t>
        </is>
      </c>
    </row>
    <row r="4">
      <c r="A4" s="14" t="inlineStr">
        <is>
          <t>Follower 舵机</t>
        </is>
      </c>
      <c r="B4" s="2" t="inlineStr">
        <is>
          <t>12× STS-3215 (全标准)</t>
        </is>
      </c>
      <c r="C4" s="2" t="inlineStr">
        <is>
          <t>8× STS-3215 + 6× STS-3095 高扭</t>
        </is>
      </c>
    </row>
    <row r="5">
      <c r="A5" s="14" t="inlineStr">
        <is>
          <t>Leader 来源</t>
        </is>
      </c>
      <c r="B5" s="2" t="inlineStr">
        <is>
          <t>SO-ARM100 leader (别人的)</t>
        </is>
      </c>
      <c r="C5" s="2" t="inlineStr">
        <is>
          <t>AM-ARM200 leader (自研)</t>
        </is>
      </c>
    </row>
    <row r="6">
      <c r="A6" s="14" t="inlineStr">
        <is>
          <t>Leader 舵机</t>
        </is>
      </c>
      <c r="B6" s="2" t="inlineStr">
        <is>
          <t>12× STS-3215 7.4V 1/147</t>
        </is>
      </c>
      <c r="C6" s="2" t="inlineStr">
        <is>
          <t>14× STS-3215 7.4V 1/147</t>
        </is>
      </c>
    </row>
    <row r="7">
      <c r="A7" s="14" t="inlineStr">
        <is>
          <t>升降</t>
        </is>
      </c>
      <c r="B7" s="2" t="inlineStr">
        <is>
          <t>含底盘 4 舵机内</t>
        </is>
      </c>
      <c r="C7" s="2" t="inlineStr">
        <is>
          <t>专用 STS-3095 95kg·cm</t>
        </is>
      </c>
    </row>
    <row r="8">
      <c r="A8" s="14" t="inlineStr">
        <is>
          <t>臂负载</t>
        </is>
      </c>
      <c r="B8" s="2" t="inlineStr">
        <is>
          <t>0.3 kg</t>
        </is>
      </c>
      <c r="C8" s="2" t="inlineStr">
        <is>
          <t>1 kg</t>
        </is>
      </c>
    </row>
    <row r="9">
      <c r="A9" s="14" t="inlineStr">
        <is>
          <t>升降负载</t>
        </is>
      </c>
      <c r="B9" s="2" t="inlineStr">
        <is>
          <t>5 kg</t>
        </is>
      </c>
      <c r="C9" s="2" t="inlineStr">
        <is>
          <t>30 kg</t>
        </is>
      </c>
    </row>
    <row r="10">
      <c r="A10" s="14" t="inlineStr">
        <is>
          <t>底盘载荷</t>
        </is>
      </c>
      <c r="B10" s="2" t="inlineStr">
        <is>
          <t>10 kg</t>
        </is>
      </c>
      <c r="C10" s="2" t="inlineStr">
        <is>
          <t>70 kg</t>
        </is>
      </c>
    </row>
    <row r="11">
      <c r="A11" s="14" t="inlineStr">
        <is>
          <t>全向轮</t>
        </is>
      </c>
      <c r="B11" s="2" t="inlineStr">
        <is>
          <t>4″ ≈100mm</t>
        </is>
      </c>
      <c r="C11" s="2" t="inlineStr">
        <is>
          <t>127mm 74A</t>
        </is>
      </c>
    </row>
    <row r="12">
      <c r="A12" s="14" t="inlineStr">
        <is>
          <t>打印机要求</t>
        </is>
      </c>
      <c r="B12" s="2" t="inlineStr">
        <is>
          <t>需大幅面(底盘可能外协)</t>
        </is>
      </c>
      <c r="C12" s="2" t="inlineStr">
        <is>
          <t>Bambu P2S 消费级全可打</t>
        </is>
      </c>
    </row>
    <row r="13">
      <c r="A13" s="14" t="inlineStr">
        <is>
          <t>树莓派</t>
        </is>
      </c>
      <c r="B13" s="2" t="inlineStr">
        <is>
          <t>可选(Standalone 才要)</t>
        </is>
      </c>
      <c r="C13" s="2" t="inlineStr">
        <is>
          <t>主 BOM 内 (Host/Client WiFi)</t>
        </is>
      </c>
    </row>
    <row r="14">
      <c r="A14" s="14" t="inlineStr">
        <is>
          <t>USB 直连 PC</t>
        </is>
      </c>
      <c r="B14" s="2" t="inlineStr">
        <is>
          <t>官方明确支持(不装单板机)</t>
        </is>
      </c>
      <c r="C14" s="2" t="inlineStr">
        <is>
          <t>同样支持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2026-06-26T02:12:49Z</dcterms:created>
  <dcterms:modified xmlns:dcterms="http://purl.org/dc/terms/" xmlns:xsi="http://www.w3.org/2001/XMLSchema-instance" xsi:type="dcterms:W3CDTF">2026-06-26T02:12:49Z</dcterms:modified>
</cp:coreProperties>
</file>